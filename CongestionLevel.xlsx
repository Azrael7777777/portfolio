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712" documentId="11_38647685A22DF16E627C5698E22414AB5CCE7CDB" xr6:coauthVersionLast="47" xr6:coauthVersionMax="47" xr10:uidLastSave="{06DA4597-23A1-428A-8292-B942CC851803}"/>
  <bookViews>
    <workbookView xWindow="-103" yWindow="-103" windowWidth="24892" windowHeight="14914" activeTab="6" xr2:uid="{00000000-000D-0000-FFFF-FFFF00000000}"/>
  </bookViews>
  <sheets>
    <sheet name="ASFData" sheetId="12" r:id="rId1"/>
    <sheet name="AbsDiffs" sheetId="11" r:id="rId2"/>
    <sheet name="Medians" sheetId="10" r:id="rId3"/>
    <sheet name="Levene" sheetId="9" r:id="rId4"/>
    <sheet name="ASFData2" sheetId="7" r:id="rId5"/>
    <sheet name="TukeyKramer2" sheetId="8" r:id="rId6"/>
    <sheet name="ANOVA2" sheetId="6" r:id="rId7"/>
    <sheet name="DATA" sheetId="2" r:id="rId8"/>
  </sheets>
  <definedNames>
    <definedName name="_xlnm._FilterDatabase" localSheetId="7" hidden="1">DATA!#REF!</definedName>
    <definedName name="_xlnm.Criteria" localSheetId="7">DATA!#REF!</definedName>
    <definedName name="_xlnm.Extract" localSheetId="7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9" l="1"/>
  <c r="B13" i="9" s="1"/>
  <c r="B14" i="9" s="1"/>
  <c r="C14" i="9"/>
  <c r="J2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D11" i="11"/>
  <c r="D10" i="11"/>
  <c r="D9" i="11"/>
  <c r="D8" i="11"/>
  <c r="D7" i="11"/>
  <c r="D6" i="11"/>
  <c r="D5" i="11"/>
  <c r="D4" i="11"/>
  <c r="D3" i="11"/>
  <c r="D2" i="11"/>
  <c r="C11" i="11"/>
  <c r="C10" i="11"/>
  <c r="C9" i="11"/>
  <c r="C8" i="11"/>
  <c r="C7" i="11"/>
  <c r="C6" i="11"/>
  <c r="C5" i="11"/>
  <c r="C4" i="11"/>
  <c r="C3" i="11"/>
  <c r="C2" i="11"/>
  <c r="B11" i="11"/>
  <c r="B10" i="11"/>
  <c r="B9" i="11"/>
  <c r="B8" i="11"/>
  <c r="B7" i="11"/>
  <c r="B6" i="11"/>
  <c r="B5" i="11"/>
  <c r="B4" i="11"/>
  <c r="B3" i="11"/>
  <c r="B2" i="11"/>
  <c r="A11" i="11"/>
  <c r="A10" i="11"/>
  <c r="A9" i="11"/>
  <c r="A8" i="11"/>
  <c r="A7" i="11"/>
  <c r="A6" i="11"/>
  <c r="A5" i="11"/>
  <c r="A4" i="11"/>
  <c r="A3" i="11"/>
  <c r="A2" i="11"/>
  <c r="D13" i="10"/>
  <c r="C13" i="10"/>
  <c r="B13" i="10"/>
  <c r="A13" i="10"/>
  <c r="C13" i="9"/>
  <c r="J3" i="9"/>
  <c r="I4" i="8"/>
  <c r="C8" i="8"/>
  <c r="B8" i="8"/>
  <c r="G10" i="8"/>
  <c r="H10" i="8" s="1"/>
  <c r="F10" i="8"/>
  <c r="C7" i="8"/>
  <c r="B7" i="8"/>
  <c r="F6" i="8" s="1"/>
  <c r="G9" i="8"/>
  <c r="H9" i="8" s="1"/>
  <c r="I9" i="8" s="1"/>
  <c r="F9" i="8"/>
  <c r="G8" i="8"/>
  <c r="H8" i="8" s="1"/>
  <c r="F8" i="8"/>
  <c r="C6" i="8"/>
  <c r="G5" i="8" s="1"/>
  <c r="H5" i="8" s="1"/>
  <c r="B6" i="8"/>
  <c r="G7" i="8"/>
  <c r="H7" i="8" s="1"/>
  <c r="I7" i="8" s="1"/>
  <c r="F7" i="8"/>
  <c r="H6" i="8"/>
  <c r="G6" i="8"/>
  <c r="F5" i="8"/>
  <c r="C5" i="8"/>
  <c r="B5" i="8"/>
  <c r="B14" i="8"/>
  <c r="B13" i="8"/>
  <c r="B11" i="8"/>
  <c r="B16" i="6"/>
  <c r="C14" i="6"/>
  <c r="J2" i="6"/>
  <c r="B13" i="6"/>
  <c r="B14" i="6" s="1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J3" i="6" s="1"/>
  <c r="C13" i="6"/>
  <c r="D13" i="6" s="1"/>
  <c r="D13" i="9" l="1"/>
  <c r="G13" i="9"/>
  <c r="C16" i="9"/>
  <c r="D14" i="9"/>
  <c r="E13" i="9" s="1"/>
  <c r="F13" i="9" s="1"/>
  <c r="I10" i="8"/>
  <c r="I6" i="8"/>
  <c r="I8" i="8"/>
  <c r="I5" i="8"/>
  <c r="G13" i="6"/>
  <c r="C16" i="6"/>
  <c r="D14" i="6"/>
  <c r="E13" i="6" s="1"/>
  <c r="F13" i="6" s="1"/>
</calcChain>
</file>

<file path=xl/sharedStrings.xml><?xml version="1.0" encoding="utf-8"?>
<sst xmlns="http://schemas.openxmlformats.org/spreadsheetml/2006/main" count="101" uniqueCount="53">
  <si>
    <t>Asia</t>
  </si>
  <si>
    <t>Europe</t>
  </si>
  <si>
    <t>North America</t>
  </si>
  <si>
    <t>South America</t>
  </si>
  <si>
    <t>Calculations</t>
  </si>
  <si>
    <t>c</t>
  </si>
  <si>
    <t>SUMMARY</t>
  </si>
  <si>
    <t>n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</si>
  <si>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</si>
  <si>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</si>
  <si>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</si>
  <si>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</si>
  <si>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</si>
  <si>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</si>
  <si>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</si>
  <si>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</si>
  <si>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</si>
  <si>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</si>
  <si>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</si>
  <si>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</si>
  <si>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</si>
  <si>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</si>
  <si>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</si>
  <si>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</si>
  <si>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Level of significance</t>
  </si>
  <si>
    <t>Sample</t>
  </si>
  <si>
    <t>Absolute</t>
  </si>
  <si>
    <t>Std. Error</t>
  </si>
  <si>
    <t>Critical</t>
  </si>
  <si>
    <t>Group</t>
  </si>
  <si>
    <t>Mean</t>
  </si>
  <si>
    <t>Size</t>
  </si>
  <si>
    <t>Comparison</t>
  </si>
  <si>
    <t>Difference</t>
  </si>
  <si>
    <t>of Difference</t>
  </si>
  <si>
    <t>Range</t>
  </si>
  <si>
    <t>Other Data</t>
  </si>
  <si>
    <t>Numerator d.f.</t>
  </si>
  <si>
    <t>Denominator d.f.</t>
  </si>
  <si>
    <t>MSW</t>
  </si>
  <si>
    <t>Q Statistic</t>
  </si>
  <si>
    <t>Group 1 to Group 2</t>
  </si>
  <si>
    <t>Group 1 to Group 3</t>
  </si>
  <si>
    <t>Group 1 to Group 4</t>
  </si>
  <si>
    <t>Group 2 to Group 3</t>
  </si>
  <si>
    <t>Group 2 to Group 4</t>
  </si>
  <si>
    <t>Group 3 to Group 4</t>
  </si>
  <si>
    <t>OneWay</t>
  </si>
  <si>
    <t>1: Asia</t>
  </si>
  <si>
    <t>2: Europe</t>
  </si>
  <si>
    <t>3: North America</t>
  </si>
  <si>
    <t>4: South America</t>
  </si>
  <si>
    <t>LevenesTest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</si>
</sst>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color indexed="8"/>
      <name val="Calibri"/>
      <family val="2"/>
    </font>
    <font>
      <b/>
      <i/>
      <sz val="1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1" fillId="0" borderId="2" xfId="0" applyFont="1" applyBorder="1"/>
    <xf numFmtId="0" fontId="4" fillId="0" borderId="0" xfId="1" applyFont="1"/>
    <xf numFmtId="0" fontId="5" fillId="0" borderId="0" xfId="1" applyFont="1"/>
    <xf numFmtId="0" fontId="6" fillId="0" borderId="5" xfId="1" applyFont="1" applyBorder="1"/>
    <xf numFmtId="0" fontId="5" fillId="0" borderId="6" xfId="1" applyFont="1" applyBorder="1"/>
    <xf numFmtId="0" fontId="7" fillId="0" borderId="0" xfId="1" applyFont="1"/>
    <xf numFmtId="0" fontId="6" fillId="0" borderId="7" xfId="1" applyFont="1" applyBorder="1"/>
    <xf numFmtId="0" fontId="5" fillId="0" borderId="8" xfId="1" applyFont="1" applyBorder="1"/>
    <xf numFmtId="0" fontId="8" fillId="0" borderId="1" xfId="1" applyFont="1" applyBorder="1" applyAlignment="1">
      <alignment horizontal="center"/>
    </xf>
    <xf numFmtId="164" fontId="4" fillId="0" borderId="0" xfId="1" applyNumberFormat="1" applyFont="1"/>
    <xf numFmtId="0" fontId="4" fillId="0" borderId="9" xfId="1" applyFont="1" applyBorder="1"/>
    <xf numFmtId="164" fontId="4" fillId="0" borderId="9" xfId="1" applyNumberFormat="1" applyFont="1" applyBorder="1"/>
    <xf numFmtId="0" fontId="4" fillId="0" borderId="13" xfId="1" applyFont="1" applyBorder="1"/>
    <xf numFmtId="0" fontId="9" fillId="0" borderId="0" xfId="0" applyFont="1"/>
    <xf numFmtId="0" fontId="0" fillId="0" borderId="0" xfId="0" applyAlignment="1">
      <alignment horizontal="center"/>
    </xf>
    <xf numFmtId="0" fontId="0" fillId="0" borderId="14" xfId="0" applyBorder="1"/>
    <xf numFmtId="0" fontId="0" fillId="2" borderId="14" xfId="0" applyFill="1" applyBorder="1" applyProtection="1">
      <protection locked="0"/>
    </xf>
    <xf numFmtId="0" fontId="9" fillId="0" borderId="0" xfId="0" applyFont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8" fillId="0" borderId="10" xfId="1" applyFont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0" borderId="12" xfId="1" applyFont="1" applyBorder="1" applyAlignment="1">
      <alignment horizontal="right"/>
    </xf>
    <xf numFmtId="0" fontId="0" fillId="0" borderId="14" xfId="0" applyBorder="1" applyAlignment="1">
      <alignment horizontal="center"/>
    </xf>
  </cellXfs>
  <cellStyles count="2">
    <cellStyle name="Normal" xfId="0" builtinId="0"/>
    <cellStyle name="Normal 2" xfId="1" xr:uid="{A306511E-E293-4309-A69B-36A0EDCBF7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0942-91A0-49D9-8B70-FFC301A87C68}">
  <dimension ref="A1:D11"/>
  <sheetViews>
    <sheetView workbookViewId="0"/>
  </sheetViews>
  <sheetFormatPr defaultRowHeight="12.4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14.5</v>
      </c>
      <c r="B2">
        <v>10</v>
      </c>
      <c r="C2">
        <v>31.5</v>
      </c>
      <c r="D2">
        <v>11</v>
      </c>
    </row>
    <row r="3" spans="1:4" x14ac:dyDescent="0.3">
      <c r="A3">
        <v>11.5</v>
      </c>
      <c r="B3">
        <v>4</v>
      </c>
      <c r="C3">
        <v>10.5</v>
      </c>
      <c r="D3">
        <v>7</v>
      </c>
    </row>
    <row r="4" spans="1:4" x14ac:dyDescent="0.3">
      <c r="A4">
        <v>5.5</v>
      </c>
      <c r="B4">
        <v>1</v>
      </c>
      <c r="C4">
        <v>4.5</v>
      </c>
      <c r="D4">
        <v>6</v>
      </c>
    </row>
    <row r="5" spans="1:4" x14ac:dyDescent="0.3">
      <c r="A5">
        <v>2.5</v>
      </c>
      <c r="B5">
        <v>0</v>
      </c>
      <c r="C5">
        <v>4.5</v>
      </c>
      <c r="D5">
        <v>4</v>
      </c>
    </row>
    <row r="6" spans="1:4" x14ac:dyDescent="0.3">
      <c r="A6">
        <v>0.5</v>
      </c>
      <c r="B6">
        <v>2</v>
      </c>
      <c r="C6">
        <v>0.5</v>
      </c>
      <c r="D6">
        <v>1</v>
      </c>
    </row>
    <row r="7" spans="1:4" x14ac:dyDescent="0.3">
      <c r="A7">
        <v>0.5</v>
      </c>
      <c r="B7">
        <v>2</v>
      </c>
      <c r="C7">
        <v>0.5</v>
      </c>
      <c r="D7">
        <v>1</v>
      </c>
    </row>
    <row r="8" spans="1:4" x14ac:dyDescent="0.3">
      <c r="A8">
        <v>0.5</v>
      </c>
      <c r="B8">
        <v>0</v>
      </c>
      <c r="C8">
        <v>2.5</v>
      </c>
      <c r="D8">
        <v>6</v>
      </c>
    </row>
    <row r="9" spans="1:4" x14ac:dyDescent="0.3">
      <c r="A9">
        <v>1.5</v>
      </c>
      <c r="B9">
        <v>0</v>
      </c>
      <c r="C9">
        <v>4.5</v>
      </c>
      <c r="D9">
        <v>9</v>
      </c>
    </row>
    <row r="10" spans="1:4" x14ac:dyDescent="0.3">
      <c r="A10">
        <v>2.5</v>
      </c>
      <c r="B10">
        <v>2</v>
      </c>
      <c r="C10">
        <v>4.5</v>
      </c>
      <c r="D10">
        <v>11</v>
      </c>
    </row>
    <row r="11" spans="1:4" x14ac:dyDescent="0.3">
      <c r="A11">
        <v>2.5</v>
      </c>
      <c r="B11">
        <v>3</v>
      </c>
      <c r="C11">
        <v>5.5</v>
      </c>
      <c r="D11">
        <v>16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5592-8965-4C7F-BAA3-27FFA1258B7F}">
  <dimension ref="A1:D11"/>
  <sheetViews>
    <sheetView workbookViewId="0"/>
  </sheetViews>
  <sheetFormatPr defaultRowHeight="12.4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f>ABS(Medians!A2- Medians!A13)</f>
        <v>14.5</v>
      </c>
      <c r="B2">
        <f>ABS(Medians!B2- Medians!B13)</f>
        <v>10</v>
      </c>
      <c r="C2">
        <f>ABS(Medians!C2- Medians!C13)</f>
        <v>31.5</v>
      </c>
      <c r="D2">
        <f>ABS(Medians!D2- Medians!D13)</f>
        <v>11</v>
      </c>
    </row>
    <row r="3" spans="1:4" x14ac:dyDescent="0.3">
      <c r="A3">
        <f>ABS(Medians!A3- Medians!A13)</f>
        <v>11.5</v>
      </c>
      <c r="B3">
        <f>ABS(Medians!B3- Medians!B13)</f>
        <v>4</v>
      </c>
      <c r="C3">
        <f>ABS(Medians!C3- Medians!C13)</f>
        <v>10.5</v>
      </c>
      <c r="D3">
        <f>ABS(Medians!D3- Medians!D13)</f>
        <v>7</v>
      </c>
    </row>
    <row r="4" spans="1:4" x14ac:dyDescent="0.3">
      <c r="A4">
        <f>ABS(Medians!A4- Medians!A13)</f>
        <v>5.5</v>
      </c>
      <c r="B4">
        <f>ABS(Medians!B4- Medians!B13)</f>
        <v>1</v>
      </c>
      <c r="C4">
        <f>ABS(Medians!C4- Medians!C13)</f>
        <v>4.5</v>
      </c>
      <c r="D4">
        <f>ABS(Medians!D4- Medians!D13)</f>
        <v>6</v>
      </c>
    </row>
    <row r="5" spans="1:4" x14ac:dyDescent="0.3">
      <c r="A5">
        <f>ABS(Medians!A5- Medians!A13)</f>
        <v>2.5</v>
      </c>
      <c r="B5">
        <f>ABS(Medians!B5- Medians!B13)</f>
        <v>0</v>
      </c>
      <c r="C5">
        <f>ABS(Medians!C5- Medians!C13)</f>
        <v>4.5</v>
      </c>
      <c r="D5">
        <f>ABS(Medians!D5- Medians!D13)</f>
        <v>4</v>
      </c>
    </row>
    <row r="6" spans="1:4" x14ac:dyDescent="0.3">
      <c r="A6">
        <f>ABS(Medians!A6- Medians!A13)</f>
        <v>0.5</v>
      </c>
      <c r="B6">
        <f>ABS(Medians!B6- Medians!B13)</f>
        <v>2</v>
      </c>
      <c r="C6">
        <f>ABS(Medians!C6- Medians!C13)</f>
        <v>0.5</v>
      </c>
      <c r="D6">
        <f>ABS(Medians!D6- Medians!D13)</f>
        <v>1</v>
      </c>
    </row>
    <row r="7" spans="1:4" x14ac:dyDescent="0.3">
      <c r="A7">
        <f>ABS(Medians!A7- Medians!A13)</f>
        <v>0.5</v>
      </c>
      <c r="B7">
        <f>ABS(Medians!B7- Medians!B13)</f>
        <v>2</v>
      </c>
      <c r="C7">
        <f>ABS(Medians!C7- Medians!C13)</f>
        <v>0.5</v>
      </c>
      <c r="D7">
        <f>ABS(Medians!D7- Medians!D13)</f>
        <v>1</v>
      </c>
    </row>
    <row r="8" spans="1:4" x14ac:dyDescent="0.3">
      <c r="A8">
        <f>ABS(Medians!A8- Medians!A13)</f>
        <v>0.5</v>
      </c>
      <c r="B8">
        <f>ABS(Medians!B8- Medians!B13)</f>
        <v>0</v>
      </c>
      <c r="C8">
        <f>ABS(Medians!C8- Medians!C13)</f>
        <v>2.5</v>
      </c>
      <c r="D8">
        <f>ABS(Medians!D8- Medians!D13)</f>
        <v>6</v>
      </c>
    </row>
    <row r="9" spans="1:4" x14ac:dyDescent="0.3">
      <c r="A9">
        <f>ABS(Medians!A9- Medians!A13)</f>
        <v>1.5</v>
      </c>
      <c r="B9">
        <f>ABS(Medians!B9- Medians!B13)</f>
        <v>0</v>
      </c>
      <c r="C9">
        <f>ABS(Medians!C9- Medians!C13)</f>
        <v>4.5</v>
      </c>
      <c r="D9">
        <f>ABS(Medians!D9- Medians!D13)</f>
        <v>9</v>
      </c>
    </row>
    <row r="10" spans="1:4" x14ac:dyDescent="0.3">
      <c r="A10">
        <f>ABS(Medians!A10- Medians!A13)</f>
        <v>2.5</v>
      </c>
      <c r="B10">
        <f>ABS(Medians!B10- Medians!B13)</f>
        <v>2</v>
      </c>
      <c r="C10">
        <f>ABS(Medians!C10- Medians!C13)</f>
        <v>4.5</v>
      </c>
      <c r="D10">
        <f>ABS(Medians!D10- Medians!D13)</f>
        <v>11</v>
      </c>
    </row>
    <row r="11" spans="1:4" x14ac:dyDescent="0.3">
      <c r="A11">
        <f>ABS(Medians!A11- Medians!A13)</f>
        <v>2.5</v>
      </c>
      <c r="B11">
        <f>ABS(Medians!B11- Medians!B13)</f>
        <v>3</v>
      </c>
      <c r="C11">
        <f>ABS(Medians!C11- Medians!C13)</f>
        <v>5.5</v>
      </c>
      <c r="D11">
        <f>ABS(Medians!D11- Medians!D13)</f>
        <v>16</v>
      </c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2FF8-B189-4944-9A7C-86B3E90740DD}">
  <dimension ref="A1:D13"/>
  <sheetViews>
    <sheetView workbookViewId="0"/>
  </sheetViews>
  <sheetFormatPr defaultRowHeight="12.4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61</v>
      </c>
      <c r="B2">
        <v>50</v>
      </c>
      <c r="C2">
        <v>66</v>
      </c>
      <c r="D2">
        <v>47</v>
      </c>
    </row>
    <row r="3" spans="1:4" x14ac:dyDescent="0.3">
      <c r="A3">
        <v>58</v>
      </c>
      <c r="B3">
        <v>44</v>
      </c>
      <c r="C3">
        <v>45</v>
      </c>
      <c r="D3">
        <v>43</v>
      </c>
    </row>
    <row r="4" spans="1:4" x14ac:dyDescent="0.3">
      <c r="A4">
        <v>52</v>
      </c>
      <c r="B4">
        <v>41</v>
      </c>
      <c r="C4">
        <v>39</v>
      </c>
      <c r="D4">
        <v>42</v>
      </c>
    </row>
    <row r="5" spans="1:4" x14ac:dyDescent="0.3">
      <c r="A5">
        <v>49</v>
      </c>
      <c r="B5">
        <v>40</v>
      </c>
      <c r="C5">
        <v>39</v>
      </c>
      <c r="D5">
        <v>40</v>
      </c>
    </row>
    <row r="6" spans="1:4" x14ac:dyDescent="0.3">
      <c r="A6">
        <v>47</v>
      </c>
      <c r="B6">
        <v>38</v>
      </c>
      <c r="C6">
        <v>35</v>
      </c>
      <c r="D6">
        <v>37</v>
      </c>
    </row>
    <row r="7" spans="1:4" x14ac:dyDescent="0.3">
      <c r="A7">
        <v>46</v>
      </c>
      <c r="B7">
        <v>38</v>
      </c>
      <c r="C7">
        <v>34</v>
      </c>
      <c r="D7">
        <v>35</v>
      </c>
    </row>
    <row r="8" spans="1:4" x14ac:dyDescent="0.3">
      <c r="A8">
        <v>46</v>
      </c>
      <c r="B8">
        <v>40</v>
      </c>
      <c r="C8">
        <v>32</v>
      </c>
      <c r="D8">
        <v>30</v>
      </c>
    </row>
    <row r="9" spans="1:4" x14ac:dyDescent="0.3">
      <c r="A9">
        <v>45</v>
      </c>
      <c r="B9">
        <v>40</v>
      </c>
      <c r="C9">
        <v>30</v>
      </c>
      <c r="D9">
        <v>27</v>
      </c>
    </row>
    <row r="10" spans="1:4" x14ac:dyDescent="0.3">
      <c r="A10">
        <v>44</v>
      </c>
      <c r="B10">
        <v>38</v>
      </c>
      <c r="C10">
        <v>30</v>
      </c>
      <c r="D10">
        <v>25</v>
      </c>
    </row>
    <row r="11" spans="1:4" x14ac:dyDescent="0.3">
      <c r="A11">
        <v>44</v>
      </c>
      <c r="B11">
        <v>37</v>
      </c>
      <c r="C11">
        <v>29</v>
      </c>
      <c r="D11">
        <v>20</v>
      </c>
    </row>
    <row r="13" spans="1:4" x14ac:dyDescent="0.3">
      <c r="A13">
        <f>MEDIAN(A2:A11)</f>
        <v>46.5</v>
      </c>
      <c r="B13">
        <f>MEDIAN(B2:B11)</f>
        <v>40</v>
      </c>
      <c r="C13">
        <f>MEDIAN(C2:C11)</f>
        <v>34.5</v>
      </c>
      <c r="D13">
        <f>MEDIAN(D2:D11)</f>
        <v>36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C321-6B0D-4C2D-A62D-FE5CEA7F9F25}">
  <sheetPr codeName="Sheet7"/>
  <dimension ref="A1:J39"/>
  <sheetViews>
    <sheetView workbookViewId="0"/>
  </sheetViews>
  <sheetFormatPr defaultColWidth="9.15234375" defaultRowHeight="14.6" x14ac:dyDescent="0.4"/>
  <cols>
    <col min="1" max="1" width="20.3046875" style="6" bestFit="1" customWidth="1"/>
    <col min="2" max="2" width="9.3828125" style="6" bestFit="1" customWidth="1"/>
    <col min="3" max="3" width="5.23046875" style="6" bestFit="1" customWidth="1"/>
    <col min="4" max="4" width="8.61328125" style="6" bestFit="1" customWidth="1"/>
    <col min="5" max="5" width="9" style="6" bestFit="1" customWidth="1"/>
    <col min="6" max="6" width="7.84375" style="6" bestFit="1" customWidth="1"/>
    <col min="7" max="7" width="6.3828125" style="6" bestFit="1" customWidth="1"/>
    <col min="8" max="8" width="2.3046875" style="6" customWidth="1"/>
    <col min="9" max="9" width="4.15234375" style="6" customWidth="1"/>
    <col min="10" max="10" width="7.15234375" style="6" customWidth="1"/>
    <col min="11" max="16384" width="9.15234375" style="6"/>
  </cols>
  <sheetData>
    <row r="1" spans="1:10" ht="15" customHeight="1" x14ac:dyDescent="0.4">
      <c r="A1" s="5" t="s">
        <v>52</v>
      </c>
      <c r="B1" s="5"/>
      <c r="C1" s="5"/>
      <c r="D1" s="5"/>
      <c r="E1" s="5"/>
      <c r="F1" s="5"/>
      <c r="G1" s="5"/>
      <c r="I1" s="22" t="s">
        <v>4</v>
      </c>
      <c r="J1" s="23"/>
    </row>
    <row r="2" spans="1:10" ht="15" customHeight="1" x14ac:dyDescent="0.4">
      <c r="A2" s="5"/>
      <c r="B2" s="5"/>
      <c r="C2" s="5"/>
      <c r="D2" s="5"/>
      <c r="E2" s="5"/>
      <c r="F2" s="5"/>
      <c r="G2" s="5"/>
      <c r="I2" s="7" t="s">
        <v>5</v>
      </c>
      <c r="J2" s="8">
        <f>COUNTA(ASFData!$1:$1)</f>
        <v>4</v>
      </c>
    </row>
    <row r="3" spans="1:10" ht="15" customHeight="1" thickBot="1" x14ac:dyDescent="0.45">
      <c r="A3" s="5" t="s">
        <v>6</v>
      </c>
      <c r="B3" s="5"/>
      <c r="C3" s="5"/>
      <c r="D3" s="5"/>
      <c r="E3" s="5"/>
      <c r="F3" s="5"/>
      <c r="G3" s="5"/>
      <c r="H3" s="9"/>
      <c r="I3" s="10" t="s">
        <v>7</v>
      </c>
      <c r="J3" s="11">
        <f>SUM(B5:B8)</f>
        <v>40</v>
      </c>
    </row>
    <row r="4" spans="1:10" ht="15" customHeight="1" x14ac:dyDescent="0.4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5"/>
      <c r="G4" s="5"/>
    </row>
    <row r="5" spans="1:10" ht="15" customHeight="1" x14ac:dyDescent="0.4">
      <c r="A5" s="5" t="s">
        <v>0</v>
      </c>
      <c r="B5" s="5">
        <f>COUNT(ASFData!$A:$A)</f>
        <v>10</v>
      </c>
      <c r="C5" s="5">
        <f>SUM(ASFData!$A:$A)</f>
        <v>42</v>
      </c>
      <c r="D5" s="5">
        <f>AVERAGE(ASFData!$A:$A)</f>
        <v>4.2</v>
      </c>
      <c r="E5" s="13">
        <f>_xlfn.VAR.S(ASFData!$A:$A)</f>
        <v>24.233333333333334</v>
      </c>
      <c r="F5" s="5"/>
      <c r="G5" s="5"/>
    </row>
    <row r="6" spans="1:10" ht="15" customHeight="1" x14ac:dyDescent="0.4">
      <c r="A6" s="5" t="s">
        <v>1</v>
      </c>
      <c r="B6" s="5">
        <f>COUNT(ASFData!$B:$B)</f>
        <v>10</v>
      </c>
      <c r="C6" s="5">
        <f>SUM(ASFData!$B:$B)</f>
        <v>24</v>
      </c>
      <c r="D6" s="5">
        <f>AVERAGE(ASFData!$B:$B)</f>
        <v>2.4</v>
      </c>
      <c r="E6" s="13">
        <f>_xlfn.VAR.S(ASFData!$B:$B)</f>
        <v>8.9333333333333336</v>
      </c>
      <c r="F6" s="5"/>
      <c r="G6" s="5"/>
    </row>
    <row r="7" spans="1:10" ht="15" customHeight="1" x14ac:dyDescent="0.4">
      <c r="A7" s="5" t="s">
        <v>2</v>
      </c>
      <c r="B7" s="5">
        <f>COUNT(ASFData!$C:$C)</f>
        <v>10</v>
      </c>
      <c r="C7" s="5">
        <f>SUM(ASFData!$C:$C)</f>
        <v>69</v>
      </c>
      <c r="D7" s="5">
        <f>AVERAGE(ASFData!$C:$C)</f>
        <v>6.9</v>
      </c>
      <c r="E7" s="13">
        <f>_xlfn.VAR.S(ASFData!$C:$C)</f>
        <v>82.711111111111109</v>
      </c>
      <c r="F7" s="5"/>
      <c r="G7" s="5"/>
    </row>
    <row r="8" spans="1:10" ht="15" customHeight="1" thickBot="1" x14ac:dyDescent="0.45">
      <c r="A8" s="14" t="s">
        <v>3</v>
      </c>
      <c r="B8" s="14">
        <f>COUNT(ASFData!$D:$D)</f>
        <v>10</v>
      </c>
      <c r="C8" s="14">
        <f>SUM(ASFData!$D:$D)</f>
        <v>72</v>
      </c>
      <c r="D8" s="14">
        <f>AVERAGE(ASFData!$D:$D)</f>
        <v>7.2</v>
      </c>
      <c r="E8" s="15">
        <f>_xlfn.VAR.S(ASFData!$D:$D)</f>
        <v>22.177777777777781</v>
      </c>
      <c r="F8" s="5"/>
      <c r="G8" s="5"/>
    </row>
    <row r="9" spans="1:10" ht="15" customHeight="1" x14ac:dyDescent="0.4">
      <c r="A9" s="5"/>
      <c r="B9" s="5"/>
      <c r="C9" s="5"/>
      <c r="D9" s="5"/>
      <c r="E9" s="5"/>
      <c r="F9" s="5"/>
      <c r="G9" s="5"/>
    </row>
    <row r="10" spans="1:10" ht="15" customHeight="1" x14ac:dyDescent="0.4">
      <c r="A10" s="5"/>
      <c r="B10" s="5"/>
      <c r="C10" s="5"/>
      <c r="D10" s="5"/>
      <c r="E10" s="5"/>
      <c r="F10" s="5"/>
      <c r="G10" s="5"/>
    </row>
    <row r="11" spans="1:10" ht="15" customHeight="1" thickBot="1" x14ac:dyDescent="0.45">
      <c r="A11" s="5" t="s">
        <v>13</v>
      </c>
      <c r="B11" s="5"/>
      <c r="C11" s="5"/>
      <c r="D11" s="5"/>
      <c r="E11" s="5"/>
      <c r="F11" s="5"/>
      <c r="G11" s="5"/>
    </row>
    <row r="12" spans="1:10" ht="15" customHeight="1" x14ac:dyDescent="0.4">
      <c r="A12" s="12" t="s">
        <v>14</v>
      </c>
      <c r="B12" s="12" t="s">
        <v>15</v>
      </c>
      <c r="C12" s="12" t="s">
        <v>16</v>
      </c>
      <c r="D12" s="12" t="s">
        <v>17</v>
      </c>
      <c r="E12" s="12" t="s">
        <v>18</v>
      </c>
      <c r="F12" s="12" t="s">
        <v>19</v>
      </c>
      <c r="G12" s="12" t="s">
        <v>20</v>
      </c>
    </row>
    <row r="13" spans="1:10" ht="15" customHeight="1" x14ac:dyDescent="0.4">
      <c r="A13" s="5" t="s">
        <v>21</v>
      </c>
      <c r="B13" s="13">
        <f>B16-DEVSQ(ASFData!$A:$A)-DEVSQ(ASFData!$B:$B)-DEVSQ(ASFData!$C:$C)-DEVSQ(ASFData!$D:$D)</f>
        <v>157.27499999999986</v>
      </c>
      <c r="C13" s="5">
        <f>J2-1</f>
        <v>3</v>
      </c>
      <c r="D13" s="13">
        <f>B13/C13</f>
        <v>52.424999999999955</v>
      </c>
      <c r="E13" s="13">
        <f>D13/D14</f>
        <v>1.5189537223340022</v>
      </c>
      <c r="F13" s="13">
        <f>_xlfn.F.DIST.RT(E13,C13,C14)</f>
        <v>0.2261593786353491</v>
      </c>
      <c r="G13" s="13">
        <f>_xlfn.F.INV.RT(G17,C13,C14)</f>
        <v>2.8662655509401795</v>
      </c>
    </row>
    <row r="14" spans="1:10" ht="15" customHeight="1" x14ac:dyDescent="0.4">
      <c r="A14" s="5" t="s">
        <v>22</v>
      </c>
      <c r="B14" s="13">
        <f>B16-B13</f>
        <v>1242.5000000000005</v>
      </c>
      <c r="C14" s="5">
        <f>J3-COUNTA(ASFData!$1:$1)</f>
        <v>36</v>
      </c>
      <c r="D14" s="13">
        <f>B14/C14</f>
        <v>34.5138888888889</v>
      </c>
      <c r="E14" s="5"/>
      <c r="F14" s="5"/>
      <c r="G14" s="5"/>
    </row>
    <row r="15" spans="1:10" ht="15" customHeight="1" x14ac:dyDescent="0.4">
      <c r="A15" s="5"/>
      <c r="B15" s="5"/>
      <c r="C15" s="5"/>
      <c r="D15" s="5"/>
      <c r="E15" s="5"/>
      <c r="F15" s="5"/>
      <c r="G15" s="5"/>
    </row>
    <row r="16" spans="1:10" ht="15" customHeight="1" thickBot="1" x14ac:dyDescent="0.45">
      <c r="A16" s="14" t="s">
        <v>23</v>
      </c>
      <c r="B16" s="15">
        <f>DEVSQ(ASFData!$A$1:$D$11)</f>
        <v>1399.7750000000003</v>
      </c>
      <c r="C16" s="14">
        <f>C13+C14</f>
        <v>39</v>
      </c>
      <c r="D16" s="5"/>
      <c r="E16" s="5"/>
      <c r="F16" s="5"/>
      <c r="G16" s="5"/>
    </row>
    <row r="17" spans="4:7" ht="15" customHeight="1" thickBot="1" x14ac:dyDescent="0.45">
      <c r="D17" s="24" t="s">
        <v>24</v>
      </c>
      <c r="E17" s="25"/>
      <c r="F17" s="26"/>
      <c r="G17" s="16">
        <v>0.05</v>
      </c>
    </row>
    <row r="18" spans="4:7" ht="15" customHeight="1" x14ac:dyDescent="0.4"/>
    <row r="19" spans="4:7" ht="15" customHeight="1" x14ac:dyDescent="0.4"/>
    <row r="20" spans="4:7" ht="15" customHeight="1" x14ac:dyDescent="0.4"/>
    <row r="21" spans="4:7" ht="15" customHeight="1" x14ac:dyDescent="0.4"/>
    <row r="22" spans="4:7" ht="15" customHeight="1" x14ac:dyDescent="0.4"/>
    <row r="23" spans="4:7" ht="15" customHeight="1" x14ac:dyDescent="0.4"/>
    <row r="24" spans="4:7" ht="15" customHeight="1" x14ac:dyDescent="0.4"/>
    <row r="25" spans="4:7" ht="15" customHeight="1" x14ac:dyDescent="0.4"/>
    <row r="26" spans="4:7" ht="15" customHeight="1" x14ac:dyDescent="0.4"/>
    <row r="27" spans="4:7" ht="15" customHeight="1" x14ac:dyDescent="0.4"/>
    <row r="28" spans="4:7" ht="15" customHeight="1" x14ac:dyDescent="0.4"/>
    <row r="29" spans="4:7" ht="15" customHeight="1" x14ac:dyDescent="0.4"/>
    <row r="30" spans="4:7" ht="15" customHeight="1" x14ac:dyDescent="0.4"/>
    <row r="31" spans="4:7" ht="15" customHeight="1" x14ac:dyDescent="0.4"/>
    <row r="32" spans="4:7" ht="15" customHeight="1" x14ac:dyDescent="0.4"/>
    <row r="33" ht="15" customHeight="1" x14ac:dyDescent="0.4"/>
    <row r="34" ht="15" customHeight="1" x14ac:dyDescent="0.4"/>
    <row r="35" ht="15" customHeight="1" x14ac:dyDescent="0.4"/>
    <row r="36" ht="15" customHeight="1" x14ac:dyDescent="0.4"/>
    <row r="37" ht="15" customHeight="1" x14ac:dyDescent="0.4"/>
    <row r="38" ht="15" customHeight="1" x14ac:dyDescent="0.4"/>
    <row r="39" ht="15" customHeight="1" x14ac:dyDescent="0.4"/>
  </sheetData>
  <mergeCells count="2">
    <mergeCell ref="I1:J1"/>
    <mergeCell ref="D17:F17"/>
  </mergeCells>
  <pageMargins left="0.7" right="0.7" top="0.75" bottom="0.75" header="0.3" footer="0.3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1CD5-FF3E-4907-8E01-AFBFA5CA5979}">
  <dimension ref="A1:D11"/>
  <sheetViews>
    <sheetView workbookViewId="0"/>
  </sheetViews>
  <sheetFormatPr defaultRowHeight="12.4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61</v>
      </c>
      <c r="B2">
        <v>50</v>
      </c>
      <c r="C2">
        <v>66</v>
      </c>
      <c r="D2">
        <v>47</v>
      </c>
    </row>
    <row r="3" spans="1:4" x14ac:dyDescent="0.3">
      <c r="A3">
        <v>58</v>
      </c>
      <c r="B3">
        <v>44</v>
      </c>
      <c r="C3">
        <v>45</v>
      </c>
      <c r="D3">
        <v>43</v>
      </c>
    </row>
    <row r="4" spans="1:4" x14ac:dyDescent="0.3">
      <c r="A4">
        <v>52</v>
      </c>
      <c r="B4">
        <v>41</v>
      </c>
      <c r="C4">
        <v>39</v>
      </c>
      <c r="D4">
        <v>42</v>
      </c>
    </row>
    <row r="5" spans="1:4" x14ac:dyDescent="0.3">
      <c r="A5">
        <v>49</v>
      </c>
      <c r="B5">
        <v>40</v>
      </c>
      <c r="C5">
        <v>39</v>
      </c>
      <c r="D5">
        <v>40</v>
      </c>
    </row>
    <row r="6" spans="1:4" x14ac:dyDescent="0.3">
      <c r="A6">
        <v>47</v>
      </c>
      <c r="B6">
        <v>38</v>
      </c>
      <c r="C6">
        <v>35</v>
      </c>
      <c r="D6">
        <v>37</v>
      </c>
    </row>
    <row r="7" spans="1:4" x14ac:dyDescent="0.3">
      <c r="A7">
        <v>46</v>
      </c>
      <c r="B7">
        <v>38</v>
      </c>
      <c r="C7">
        <v>34</v>
      </c>
      <c r="D7">
        <v>35</v>
      </c>
    </row>
    <row r="8" spans="1:4" x14ac:dyDescent="0.3">
      <c r="A8">
        <v>46</v>
      </c>
      <c r="B8">
        <v>40</v>
      </c>
      <c r="C8">
        <v>32</v>
      </c>
      <c r="D8">
        <v>30</v>
      </c>
    </row>
    <row r="9" spans="1:4" x14ac:dyDescent="0.3">
      <c r="A9">
        <v>45</v>
      </c>
      <c r="B9">
        <v>40</v>
      </c>
      <c r="C9">
        <v>30</v>
      </c>
      <c r="D9">
        <v>27</v>
      </c>
    </row>
    <row r="10" spans="1:4" x14ac:dyDescent="0.3">
      <c r="A10">
        <v>44</v>
      </c>
      <c r="B10">
        <v>38</v>
      </c>
      <c r="C10">
        <v>30</v>
      </c>
      <c r="D10">
        <v>25</v>
      </c>
    </row>
    <row r="11" spans="1:4" x14ac:dyDescent="0.3">
      <c r="A11">
        <v>44</v>
      </c>
      <c r="B11">
        <v>37</v>
      </c>
      <c r="C11">
        <v>29</v>
      </c>
      <c r="D11">
        <v>20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B1BF-EF14-421B-B808-D914D640F2E6}">
  <dimension ref="A1:I15"/>
  <sheetViews>
    <sheetView workbookViewId="0">
      <selection activeCell="B16" sqref="B16"/>
    </sheetView>
  </sheetViews>
  <sheetFormatPr defaultRowHeight="12.45" x14ac:dyDescent="0.3"/>
  <cols>
    <col min="1" max="1" width="16.765625" bestFit="1" customWidth="1"/>
    <col min="4" max="4" width="4.69140625" customWidth="1"/>
    <col min="5" max="5" width="17.3046875" bestFit="1" customWidth="1"/>
    <col min="6" max="6" width="9.07421875" bestFit="1" customWidth="1"/>
    <col min="7" max="7" width="11.07421875" bestFit="1" customWidth="1"/>
    <col min="8" max="8" width="6.23046875" bestFit="1" customWidth="1"/>
    <col min="9" max="9" width="7.4609375" bestFit="1" customWidth="1"/>
  </cols>
  <sheetData>
    <row r="1" spans="1:9" x14ac:dyDescent="0.3">
      <c r="A1" s="17" t="s">
        <v>47</v>
      </c>
    </row>
    <row r="3" spans="1:9" x14ac:dyDescent="0.3">
      <c r="A3" s="21"/>
      <c r="B3" s="21" t="s">
        <v>25</v>
      </c>
      <c r="C3" s="21" t="s">
        <v>25</v>
      </c>
      <c r="D3" s="21"/>
      <c r="E3" s="18"/>
      <c r="F3" s="18" t="s">
        <v>26</v>
      </c>
      <c r="G3" s="18" t="s">
        <v>27</v>
      </c>
      <c r="H3" s="18" t="s">
        <v>28</v>
      </c>
    </row>
    <row r="4" spans="1:9" x14ac:dyDescent="0.3">
      <c r="A4" s="21" t="s">
        <v>29</v>
      </c>
      <c r="B4" s="21" t="s">
        <v>30</v>
      </c>
      <c r="C4" s="21" t="s">
        <v>31</v>
      </c>
      <c r="D4" s="21"/>
      <c r="E4" s="21" t="s">
        <v>32</v>
      </c>
      <c r="F4" s="18" t="s">
        <v>33</v>
      </c>
      <c r="G4" s="18" t="s">
        <v>34</v>
      </c>
      <c r="H4" s="18" t="s">
        <v>35</v>
      </c>
      <c r="I4" s="17" t="str">
        <f>IF(B15="","Results are NOT valid until Q Statistic is entered into B15","Results")</f>
        <v>Results</v>
      </c>
    </row>
    <row r="5" spans="1:9" x14ac:dyDescent="0.3">
      <c r="A5" s="17" t="s">
        <v>48</v>
      </c>
      <c r="B5" s="19">
        <f>ANOVA2!D5</f>
        <v>49.2</v>
      </c>
      <c r="C5" s="19">
        <f>ANOVA2!B5</f>
        <v>10</v>
      </c>
      <c r="E5" s="17" t="s">
        <v>41</v>
      </c>
      <c r="F5">
        <f>ABS($B$5-$B$6)</f>
        <v>8.6000000000000014</v>
      </c>
      <c r="G5">
        <f>SQRT(($B$14/2)*((1/$C$5)+(1/$C$6)))</f>
        <v>2.50516133878306</v>
      </c>
      <c r="H5">
        <f>$B$15*$G$5</f>
        <v>9.0937356597825083</v>
      </c>
      <c r="I5" s="17" t="str">
        <f>IF($F$5&gt;$H$5,"Means are different","Means are not different")</f>
        <v>Means are not different</v>
      </c>
    </row>
    <row r="6" spans="1:9" x14ac:dyDescent="0.3">
      <c r="A6" s="17" t="s">
        <v>49</v>
      </c>
      <c r="B6" s="19">
        <f>ANOVA2!D6</f>
        <v>40.6</v>
      </c>
      <c r="C6" s="19">
        <f>ANOVA2!B6</f>
        <v>10</v>
      </c>
      <c r="E6" s="17" t="s">
        <v>42</v>
      </c>
      <c r="F6">
        <f>ABS($B$5-$B$7)</f>
        <v>11.300000000000004</v>
      </c>
      <c r="G6">
        <f>SQRT(($B$14/2)*((1/$C$5)+(1/$C$7)))</f>
        <v>2.50516133878306</v>
      </c>
      <c r="H6">
        <f>$B$15*$G$6</f>
        <v>9.0937356597825083</v>
      </c>
      <c r="I6" s="17" t="str">
        <f>IF($F$6&gt;$H$6,"Means are different","Means are not different")</f>
        <v>Means are different</v>
      </c>
    </row>
    <row r="7" spans="1:9" x14ac:dyDescent="0.3">
      <c r="A7" s="17" t="s">
        <v>50</v>
      </c>
      <c r="B7" s="19">
        <f>ANOVA2!D7</f>
        <v>37.9</v>
      </c>
      <c r="C7" s="19">
        <f>ANOVA2!B7</f>
        <v>10</v>
      </c>
      <c r="E7" s="17" t="s">
        <v>43</v>
      </c>
      <c r="F7">
        <f>ABS($B$5-$B$8)</f>
        <v>14.600000000000001</v>
      </c>
      <c r="G7">
        <f>SQRT(($B$14/2)*((1/$C$5)+(1/$C$8)))</f>
        <v>2.50516133878306</v>
      </c>
      <c r="H7">
        <f>$B$15*$G$7</f>
        <v>9.0937356597825083</v>
      </c>
      <c r="I7" s="17" t="str">
        <f>IF($F$7&gt;$H$7,"Means are different","Means are not different")</f>
        <v>Means are different</v>
      </c>
    </row>
    <row r="8" spans="1:9" x14ac:dyDescent="0.3">
      <c r="A8" s="17" t="s">
        <v>51</v>
      </c>
      <c r="B8" s="19">
        <f>ANOVA2!D8</f>
        <v>34.6</v>
      </c>
      <c r="C8" s="19">
        <f>ANOVA2!B8</f>
        <v>10</v>
      </c>
      <c r="E8" s="17" t="s">
        <v>44</v>
      </c>
      <c r="F8">
        <f>ABS($B$6-$B$7)</f>
        <v>2.7000000000000028</v>
      </c>
      <c r="G8">
        <f>SQRT(($B$14/2)*((1/$C$6)+(1/$C$7)))</f>
        <v>2.50516133878306</v>
      </c>
      <c r="H8">
        <f>$B$15*$G$8</f>
        <v>9.0937356597825083</v>
      </c>
      <c r="I8" s="17" t="str">
        <f>IF($F$8&gt;$H$8,"Means are different","Means are not different")</f>
        <v>Means are not different</v>
      </c>
    </row>
    <row r="9" spans="1:9" x14ac:dyDescent="0.3">
      <c r="E9" s="17" t="s">
        <v>45</v>
      </c>
      <c r="F9">
        <f>ABS($B$6-$B$8)</f>
        <v>6</v>
      </c>
      <c r="G9">
        <f>SQRT(($B$14/2)*((1/$C$6)+(1/$C$8)))</f>
        <v>2.50516133878306</v>
      </c>
      <c r="H9">
        <f>$B$15*$G$9</f>
        <v>9.0937356597825083</v>
      </c>
      <c r="I9" s="17" t="str">
        <f>IF($F$9&gt;$H$9,"Means are different","Means are not different")</f>
        <v>Means are not different</v>
      </c>
    </row>
    <row r="10" spans="1:9" x14ac:dyDescent="0.3">
      <c r="A10" s="27" t="s">
        <v>36</v>
      </c>
      <c r="B10" s="27"/>
      <c r="E10" s="17" t="s">
        <v>46</v>
      </c>
      <c r="F10">
        <f>ABS($B$7-$B$8)</f>
        <v>3.2999999999999972</v>
      </c>
      <c r="G10">
        <f>SQRT(($B$14/2)*((1/$C$7)+(1/$C$8)))</f>
        <v>2.50516133878306</v>
      </c>
      <c r="H10">
        <f>$B$15*$G$10</f>
        <v>9.0937356597825083</v>
      </c>
      <c r="I10" s="17" t="str">
        <f>IF($F$10&gt;$H$10,"Means are different","Means are not different")</f>
        <v>Means are not different</v>
      </c>
    </row>
    <row r="11" spans="1:9" x14ac:dyDescent="0.3">
      <c r="A11" s="19" t="s">
        <v>24</v>
      </c>
      <c r="B11" s="19">
        <f>ANOVA2!G17</f>
        <v>0.05</v>
      </c>
    </row>
    <row r="12" spans="1:9" x14ac:dyDescent="0.3">
      <c r="A12" s="19" t="s">
        <v>37</v>
      </c>
      <c r="B12" s="19">
        <v>4</v>
      </c>
    </row>
    <row r="13" spans="1:9" x14ac:dyDescent="0.3">
      <c r="A13" s="19" t="s">
        <v>38</v>
      </c>
      <c r="B13" s="19">
        <f>ANOVA2!C14</f>
        <v>36</v>
      </c>
    </row>
    <row r="14" spans="1:9" x14ac:dyDescent="0.3">
      <c r="A14" s="19" t="s">
        <v>39</v>
      </c>
      <c r="B14" s="19">
        <f>ANOVA2!D14</f>
        <v>62.75833333333334</v>
      </c>
    </row>
    <row r="15" spans="1:9" x14ac:dyDescent="0.3">
      <c r="A15" s="20" t="s">
        <v>40</v>
      </c>
      <c r="B15" s="20">
        <v>3.63</v>
      </c>
    </row>
  </sheetData>
  <sheetProtection sheet="1"/>
  <mergeCells count="1">
    <mergeCell ref="A10:B10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8D15-E287-4B66-8EBA-8CC632299168}">
  <sheetPr codeName="Sheet8"/>
  <dimension ref="A1:J39"/>
  <sheetViews>
    <sheetView tabSelected="1" workbookViewId="0"/>
  </sheetViews>
  <sheetFormatPr defaultColWidth="9.15234375" defaultRowHeight="14.6" x14ac:dyDescent="0.4"/>
  <cols>
    <col min="1" max="1" width="20.3046875" style="6" bestFit="1" customWidth="1"/>
    <col min="2" max="2" width="9.3828125" style="6" bestFit="1" customWidth="1"/>
    <col min="3" max="3" width="5.23046875" style="6" bestFit="1" customWidth="1"/>
    <col min="4" max="4" width="8.61328125" style="6" bestFit="1" customWidth="1"/>
    <col min="5" max="5" width="9" style="6" bestFit="1" customWidth="1"/>
    <col min="6" max="6" width="7.84375" style="6" bestFit="1" customWidth="1"/>
    <col min="7" max="7" width="6.3828125" style="6" bestFit="1" customWidth="1"/>
    <col min="8" max="8" width="2.3046875" style="6" customWidth="1"/>
    <col min="9" max="9" width="4.15234375" style="6" customWidth="1"/>
    <col min="10" max="10" width="7.15234375" style="6" customWidth="1"/>
    <col min="11" max="16384" width="9.15234375" style="6"/>
  </cols>
  <sheetData>
    <row r="1" spans="1:10" ht="15" customHeight="1" x14ac:dyDescent="0.4">
      <c r="A1" s="5" t="s">
        <v>47</v>
      </c>
      <c r="B1" s="5"/>
      <c r="C1" s="5"/>
      <c r="D1" s="5"/>
      <c r="E1" s="5"/>
      <c r="F1" s="5"/>
      <c r="G1" s="5"/>
      <c r="I1" s="22" t="s">
        <v>4</v>
      </c>
      <c r="J1" s="23"/>
    </row>
    <row r="2" spans="1:10" ht="15" customHeight="1" x14ac:dyDescent="0.4">
      <c r="A2" s="5"/>
      <c r="B2" s="5"/>
      <c r="C2" s="5"/>
      <c r="D2" s="5"/>
      <c r="E2" s="5"/>
      <c r="F2" s="5"/>
      <c r="G2" s="5"/>
      <c r="I2" s="7" t="s">
        <v>5</v>
      </c>
      <c r="J2" s="8">
        <f>COUNTA(ASFData2!$1:$1)</f>
        <v>4</v>
      </c>
    </row>
    <row r="3" spans="1:10" ht="15" customHeight="1" thickBot="1" x14ac:dyDescent="0.45">
      <c r="A3" s="5" t="s">
        <v>6</v>
      </c>
      <c r="B3" s="5"/>
      <c r="C3" s="5"/>
      <c r="D3" s="5"/>
      <c r="E3" s="5"/>
      <c r="F3" s="5"/>
      <c r="G3" s="5"/>
      <c r="H3" s="9"/>
      <c r="I3" s="10" t="s">
        <v>7</v>
      </c>
      <c r="J3" s="11">
        <f>SUM(B5:B8)</f>
        <v>40</v>
      </c>
    </row>
    <row r="4" spans="1:10" ht="15" customHeight="1" x14ac:dyDescent="0.4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5"/>
      <c r="G4" s="5"/>
    </row>
    <row r="5" spans="1:10" ht="15" customHeight="1" x14ac:dyDescent="0.4">
      <c r="A5" s="5" t="s">
        <v>0</v>
      </c>
      <c r="B5" s="5">
        <f>COUNT(ASFData2!$A:$A)</f>
        <v>10</v>
      </c>
      <c r="C5" s="5">
        <f>SUM(ASFData2!$A:$A)</f>
        <v>492</v>
      </c>
      <c r="D5" s="5">
        <f>AVERAGE(ASFData2!$A:$A)</f>
        <v>49.2</v>
      </c>
      <c r="E5" s="13">
        <f>_xlfn.VAR.S(ASFData2!$A:$A)</f>
        <v>35.733333333333171</v>
      </c>
      <c r="F5" s="5"/>
      <c r="G5" s="5"/>
    </row>
    <row r="6" spans="1:10" ht="15" customHeight="1" x14ac:dyDescent="0.4">
      <c r="A6" s="5" t="s">
        <v>1</v>
      </c>
      <c r="B6" s="5">
        <f>COUNT(ASFData2!$B:$B)</f>
        <v>10</v>
      </c>
      <c r="C6" s="5">
        <f>SUM(ASFData2!$B:$B)</f>
        <v>406</v>
      </c>
      <c r="D6" s="5">
        <f>AVERAGE(ASFData2!$B:$B)</f>
        <v>40.6</v>
      </c>
      <c r="E6" s="13">
        <f>_xlfn.VAR.S(ASFData2!$B:$B)</f>
        <v>14.93333333333333</v>
      </c>
      <c r="F6" s="5"/>
      <c r="G6" s="5"/>
    </row>
    <row r="7" spans="1:10" ht="15" customHeight="1" x14ac:dyDescent="0.4">
      <c r="A7" s="5" t="s">
        <v>2</v>
      </c>
      <c r="B7" s="5">
        <f>COUNT(ASFData2!$C:$C)</f>
        <v>10</v>
      </c>
      <c r="C7" s="5">
        <f>SUM(ASFData2!$C:$C)</f>
        <v>379</v>
      </c>
      <c r="D7" s="5">
        <f>AVERAGE(ASFData2!$C:$C)</f>
        <v>37.9</v>
      </c>
      <c r="E7" s="13">
        <f>_xlfn.VAR.S(ASFData2!$C:$C)</f>
        <v>122.76666666666662</v>
      </c>
      <c r="F7" s="5"/>
      <c r="G7" s="5"/>
    </row>
    <row r="8" spans="1:10" ht="15" customHeight="1" thickBot="1" x14ac:dyDescent="0.45">
      <c r="A8" s="14" t="s">
        <v>3</v>
      </c>
      <c r="B8" s="14">
        <f>COUNT(ASFData2!$D:$D)</f>
        <v>10</v>
      </c>
      <c r="C8" s="14">
        <f>SUM(ASFData2!$D:$D)</f>
        <v>346</v>
      </c>
      <c r="D8" s="14">
        <f>AVERAGE(ASFData2!$D:$D)</f>
        <v>34.6</v>
      </c>
      <c r="E8" s="15">
        <f>_xlfn.VAR.S(ASFData2!$D:$D)</f>
        <v>77.599999999999966</v>
      </c>
      <c r="F8" s="5"/>
      <c r="G8" s="5"/>
    </row>
    <row r="9" spans="1:10" ht="15" customHeight="1" x14ac:dyDescent="0.4">
      <c r="A9" s="5"/>
      <c r="B9" s="5"/>
      <c r="C9" s="5"/>
      <c r="D9" s="5"/>
      <c r="E9" s="5"/>
      <c r="F9" s="5"/>
      <c r="G9" s="5"/>
    </row>
    <row r="10" spans="1:10" ht="15" customHeight="1" x14ac:dyDescent="0.4">
      <c r="A10" s="5"/>
      <c r="B10" s="5"/>
      <c r="C10" s="5"/>
      <c r="D10" s="5"/>
      <c r="E10" s="5"/>
      <c r="F10" s="5"/>
      <c r="G10" s="5"/>
    </row>
    <row r="11" spans="1:10" ht="15" customHeight="1" thickBot="1" x14ac:dyDescent="0.45">
      <c r="A11" s="5" t="s">
        <v>13</v>
      </c>
      <c r="B11" s="5"/>
      <c r="C11" s="5"/>
      <c r="D11" s="5"/>
      <c r="E11" s="5"/>
      <c r="F11" s="5"/>
      <c r="G11" s="5"/>
    </row>
    <row r="12" spans="1:10" ht="15" customHeight="1" x14ac:dyDescent="0.4">
      <c r="A12" s="12" t="s">
        <v>14</v>
      </c>
      <c r="B12" s="12" t="s">
        <v>15</v>
      </c>
      <c r="C12" s="12" t="s">
        <v>16</v>
      </c>
      <c r="D12" s="12" t="s">
        <v>17</v>
      </c>
      <c r="E12" s="12" t="s">
        <v>18</v>
      </c>
      <c r="F12" s="12" t="s">
        <v>19</v>
      </c>
      <c r="G12" s="12" t="s">
        <v>20</v>
      </c>
    </row>
    <row r="13" spans="1:10" ht="15" customHeight="1" x14ac:dyDescent="0.4">
      <c r="A13" s="5" t="s">
        <v>21</v>
      </c>
      <c r="B13" s="13">
        <f>B16-DEVSQ(ASFData2!$A:$A)-DEVSQ(ASFData2!$B:$B)-DEVSQ(ASFData2!$C:$C)-DEVSQ(ASFData2!$D:$D)</f>
        <v>1172.4750000000004</v>
      </c>
      <c r="C13" s="5">
        <f>J2-1</f>
        <v>3</v>
      </c>
      <c r="D13" s="13">
        <f>B13/C13</f>
        <v>390.8250000000001</v>
      </c>
      <c r="E13" s="13">
        <f>D13/D14</f>
        <v>6.2274598326915429</v>
      </c>
      <c r="F13" s="13">
        <f>_xlfn.F.DIST.RT(E13,C13,C14)</f>
        <v>1.6163901116391123E-3</v>
      </c>
      <c r="G13" s="13">
        <f>_xlfn.F.INV.RT(G17,C13,C14)</f>
        <v>2.8662655509401795</v>
      </c>
    </row>
    <row r="14" spans="1:10" ht="15" customHeight="1" x14ac:dyDescent="0.4">
      <c r="A14" s="5" t="s">
        <v>22</v>
      </c>
      <c r="B14" s="13">
        <f>B16-B13</f>
        <v>2259.3000000000002</v>
      </c>
      <c r="C14" s="5">
        <f>J3-COUNTA(ASFData2!$1:$1)</f>
        <v>36</v>
      </c>
      <c r="D14" s="13">
        <f>B14/C14</f>
        <v>62.75833333333334</v>
      </c>
      <c r="E14" s="5"/>
      <c r="F14" s="5"/>
      <c r="G14" s="5"/>
    </row>
    <row r="15" spans="1:10" ht="15" customHeight="1" x14ac:dyDescent="0.4">
      <c r="A15" s="5"/>
      <c r="B15" s="5"/>
      <c r="C15" s="5"/>
      <c r="D15" s="5"/>
      <c r="E15" s="5"/>
      <c r="F15" s="5"/>
      <c r="G15" s="5"/>
    </row>
    <row r="16" spans="1:10" ht="15" customHeight="1" thickBot="1" x14ac:dyDescent="0.45">
      <c r="A16" s="14" t="s">
        <v>23</v>
      </c>
      <c r="B16" s="15">
        <f>DEVSQ(ASFData2!$A$1:$D$11)</f>
        <v>3431.7750000000005</v>
      </c>
      <c r="C16" s="14">
        <f>C13+C14</f>
        <v>39</v>
      </c>
      <c r="D16" s="5"/>
      <c r="E16" s="5"/>
      <c r="F16" s="5"/>
      <c r="G16" s="5"/>
    </row>
    <row r="17" spans="4:7" ht="15" customHeight="1" thickBot="1" x14ac:dyDescent="0.45">
      <c r="D17" s="24" t="s">
        <v>24</v>
      </c>
      <c r="E17" s="25"/>
      <c r="F17" s="26"/>
      <c r="G17" s="16">
        <v>0.05</v>
      </c>
    </row>
    <row r="18" spans="4:7" ht="15" customHeight="1" x14ac:dyDescent="0.4"/>
    <row r="19" spans="4:7" ht="15" customHeight="1" x14ac:dyDescent="0.4"/>
    <row r="20" spans="4:7" ht="15" customHeight="1" x14ac:dyDescent="0.4"/>
    <row r="21" spans="4:7" ht="15" customHeight="1" x14ac:dyDescent="0.4"/>
    <row r="22" spans="4:7" ht="15" customHeight="1" x14ac:dyDescent="0.4"/>
    <row r="23" spans="4:7" ht="15" customHeight="1" x14ac:dyDescent="0.4"/>
    <row r="24" spans="4:7" ht="15" customHeight="1" x14ac:dyDescent="0.4"/>
    <row r="25" spans="4:7" ht="15" customHeight="1" x14ac:dyDescent="0.4"/>
    <row r="26" spans="4:7" ht="15" customHeight="1" x14ac:dyDescent="0.4"/>
    <row r="27" spans="4:7" ht="15" customHeight="1" x14ac:dyDescent="0.4"/>
    <row r="28" spans="4:7" ht="15" customHeight="1" x14ac:dyDescent="0.4"/>
    <row r="29" spans="4:7" ht="15" customHeight="1" x14ac:dyDescent="0.4"/>
    <row r="30" spans="4:7" ht="15" customHeight="1" x14ac:dyDescent="0.4"/>
    <row r="31" spans="4:7" ht="15" customHeight="1" x14ac:dyDescent="0.4"/>
    <row r="32" spans="4:7" ht="15" customHeight="1" x14ac:dyDescent="0.4"/>
    <row r="33" ht="15" customHeight="1" x14ac:dyDescent="0.4"/>
    <row r="34" ht="15" customHeight="1" x14ac:dyDescent="0.4"/>
    <row r="35" ht="15" customHeight="1" x14ac:dyDescent="0.4"/>
    <row r="36" ht="15" customHeight="1" x14ac:dyDescent="0.4"/>
    <row r="37" ht="15" customHeight="1" x14ac:dyDescent="0.4"/>
    <row r="38" ht="15" customHeight="1" x14ac:dyDescent="0.4"/>
    <row r="39" ht="15" customHeight="1" x14ac:dyDescent="0.4"/>
  </sheetData>
  <mergeCells count="2">
    <mergeCell ref="I1:J1"/>
    <mergeCell ref="D17:F17"/>
  </mergeCells>
  <pageMargins left="0.7" right="0.7" top="0.75" bottom="0.75" header="0.3" footer="0.3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/>
  </sheetViews>
  <sheetFormatPr defaultColWidth="8.84375" defaultRowHeight="14.6" x14ac:dyDescent="0.4"/>
  <cols>
    <col min="1" max="1" width="7.84375" style="2" customWidth="1"/>
    <col min="2" max="2" width="7.3046875" style="2" bestFit="1" customWidth="1"/>
    <col min="3" max="3" width="14" style="2" bestFit="1" customWidth="1"/>
    <col min="4" max="4" width="13.3046875" style="2" customWidth="1"/>
    <col min="5" max="16384" width="8.84375" style="2"/>
  </cols>
  <sheetData>
    <row r="1" spans="1:4" x14ac:dyDescent="0.4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4">
      <c r="A2" s="2">
        <v>61</v>
      </c>
      <c r="B2" s="2">
        <v>50</v>
      </c>
      <c r="C2" s="2">
        <v>66</v>
      </c>
      <c r="D2" s="2">
        <v>47</v>
      </c>
    </row>
    <row r="3" spans="1:4" x14ac:dyDescent="0.4">
      <c r="A3" s="2">
        <v>58</v>
      </c>
      <c r="B3" s="2">
        <v>44</v>
      </c>
      <c r="C3" s="2">
        <v>45</v>
      </c>
      <c r="D3" s="2">
        <v>43</v>
      </c>
    </row>
    <row r="4" spans="1:4" x14ac:dyDescent="0.4">
      <c r="A4" s="2">
        <v>52</v>
      </c>
      <c r="B4" s="2">
        <v>41</v>
      </c>
      <c r="C4" s="2">
        <v>39</v>
      </c>
      <c r="D4" s="2">
        <v>42</v>
      </c>
    </row>
    <row r="5" spans="1:4" ht="15.75" customHeight="1" x14ac:dyDescent="0.4">
      <c r="A5" s="2">
        <v>49</v>
      </c>
      <c r="B5" s="2">
        <v>40</v>
      </c>
      <c r="C5" s="2">
        <v>39</v>
      </c>
      <c r="D5" s="2">
        <v>40</v>
      </c>
    </row>
    <row r="6" spans="1:4" x14ac:dyDescent="0.4">
      <c r="A6" s="2">
        <v>47</v>
      </c>
      <c r="B6" s="2">
        <v>38</v>
      </c>
      <c r="C6" s="2">
        <v>35</v>
      </c>
      <c r="D6" s="2">
        <v>37</v>
      </c>
    </row>
    <row r="7" spans="1:4" x14ac:dyDescent="0.4">
      <c r="A7" s="2">
        <v>46</v>
      </c>
      <c r="B7" s="2">
        <v>38</v>
      </c>
      <c r="C7" s="2">
        <v>34</v>
      </c>
      <c r="D7" s="2">
        <v>35</v>
      </c>
    </row>
    <row r="8" spans="1:4" x14ac:dyDescent="0.4">
      <c r="A8" s="2">
        <v>46</v>
      </c>
      <c r="B8" s="2">
        <v>40</v>
      </c>
      <c r="C8" s="2">
        <v>32</v>
      </c>
      <c r="D8" s="2">
        <v>30</v>
      </c>
    </row>
    <row r="9" spans="1:4" x14ac:dyDescent="0.4">
      <c r="A9" s="2">
        <v>45</v>
      </c>
      <c r="B9" s="2">
        <v>40</v>
      </c>
      <c r="C9" s="2">
        <v>30</v>
      </c>
      <c r="D9" s="2">
        <v>27</v>
      </c>
    </row>
    <row r="10" spans="1:4" x14ac:dyDescent="0.4">
      <c r="A10" s="2">
        <v>44</v>
      </c>
      <c r="B10" s="2">
        <v>38</v>
      </c>
      <c r="C10" s="2">
        <v>30</v>
      </c>
      <c r="D10" s="2">
        <v>25</v>
      </c>
    </row>
    <row r="11" spans="1:4" x14ac:dyDescent="0.4">
      <c r="A11" s="3">
        <v>44</v>
      </c>
      <c r="B11" s="3">
        <v>37</v>
      </c>
      <c r="C11" s="3">
        <v>29</v>
      </c>
      <c r="D11" s="3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ASFData</vt:lpstr>
      <vt:lpstr>AbsDiffs</vt:lpstr>
      <vt:lpstr>Medians</vt:lpstr>
      <vt:lpstr>Levene</vt:lpstr>
      <vt:lpstr>ASFData2</vt:lpstr>
      <vt:lpstr>TukeyKramer2</vt:lpstr>
      <vt:lpstr>ANOVA2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2015-08-12T18:21:33Z</dcterms:created>
  <dcterms:modified xsi:type="dcterms:W3CDTF">2026-10-12T02:32:05Z</dcterms:modified>
</cp:coreProperties>
</file>